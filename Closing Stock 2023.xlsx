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kvending/Desktop/2023 Tax /"/>
    </mc:Choice>
  </mc:AlternateContent>
  <xr:revisionPtr revIDLastSave="0" documentId="8_{56A781A8-6D5C-714F-B883-8CB1B2159042}" xr6:coauthVersionLast="47" xr6:coauthVersionMax="47" xr10:uidLastSave="{00000000-0000-0000-0000-000000000000}"/>
  <bookViews>
    <workbookView xWindow="780" yWindow="1000" windowWidth="27640" windowHeight="15880" xr2:uid="{C5A4D0BB-00E1-F042-B8F1-AA65E92309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2" i="1" l="1"/>
  <c r="E121" i="1"/>
  <c r="E115" i="1"/>
  <c r="E116" i="1"/>
  <c r="E117" i="1"/>
  <c r="E118" i="1"/>
  <c r="E119" i="1"/>
  <c r="E120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6" i="1"/>
  <c r="C86" i="1"/>
  <c r="B70" i="1"/>
</calcChain>
</file>

<file path=xl/sharedStrings.xml><?xml version="1.0" encoding="utf-8"?>
<sst xmlns="http://schemas.openxmlformats.org/spreadsheetml/2006/main" count="123" uniqueCount="115">
  <si>
    <t>30 June 2023 Closing Stock</t>
  </si>
  <si>
    <t xml:space="preserve">Data Pulled from Seed Report Titled INV 30/6/23 </t>
  </si>
  <si>
    <t>Manual Notes of Warehouse noted on this report</t>
  </si>
  <si>
    <t>Product</t>
  </si>
  <si>
    <t xml:space="preserve">Inventory in Machines </t>
  </si>
  <si>
    <t>Inventory In Warehouse</t>
  </si>
  <si>
    <t>Value</t>
  </si>
  <si>
    <t>Unit Cost of Item Ex GST</t>
  </si>
  <si>
    <t>Carmans Oat Slice</t>
  </si>
  <si>
    <t>Mrs Higgins White Choc</t>
  </si>
  <si>
    <t>JC Healthy Mix</t>
  </si>
  <si>
    <t>Shapes</t>
  </si>
  <si>
    <t>Mini Meal</t>
  </si>
  <si>
    <t>Super Chunk Cunky</t>
  </si>
  <si>
    <t>Café Creama Pods</t>
  </si>
  <si>
    <t>TNCC Snakes</t>
  </si>
  <si>
    <t>Allens Party</t>
  </si>
  <si>
    <t>lifesavers</t>
  </si>
  <si>
    <t>mentos</t>
  </si>
  <si>
    <t>gummi pizza</t>
  </si>
  <si>
    <t>baconn bites</t>
  </si>
  <si>
    <t>doritos</t>
  </si>
  <si>
    <t>smt bbq</t>
  </si>
  <si>
    <t>smt c &amp; O</t>
  </si>
  <si>
    <t>Smt Chk</t>
  </si>
  <si>
    <t>Smt Orig</t>
  </si>
  <si>
    <t>Smt SV</t>
  </si>
  <si>
    <t>twistie</t>
  </si>
  <si>
    <t>Wagon wheel</t>
  </si>
  <si>
    <t>caramello koala</t>
  </si>
  <si>
    <t>Boost</t>
  </si>
  <si>
    <t>c ripe</t>
  </si>
  <si>
    <t>mars</t>
  </si>
  <si>
    <t>mars pod</t>
  </si>
  <si>
    <t>m&amp;M</t>
  </si>
  <si>
    <t>m&amp;m Peanut</t>
  </si>
  <si>
    <t>m&amp;m large</t>
  </si>
  <si>
    <t>snickers</t>
  </si>
  <si>
    <t>mint pattie</t>
  </si>
  <si>
    <t xml:space="preserve">caramello  </t>
  </si>
  <si>
    <t>dairy milk</t>
  </si>
  <si>
    <t>dream</t>
  </si>
  <si>
    <t>snack</t>
  </si>
  <si>
    <t>Zapo double</t>
  </si>
  <si>
    <t>zappo</t>
  </si>
  <si>
    <t>fads</t>
  </si>
  <si>
    <t>whizz fizz</t>
  </si>
  <si>
    <t>pods</t>
  </si>
  <si>
    <t>chokito</t>
  </si>
  <si>
    <t>gobstopper</t>
  </si>
  <si>
    <t>kit kat</t>
  </si>
  <si>
    <t>kit kat chunky</t>
  </si>
  <si>
    <t>life saver</t>
  </si>
  <si>
    <t>nerds</t>
  </si>
  <si>
    <t>sour lolly</t>
  </si>
  <si>
    <t>fairy floss</t>
  </si>
  <si>
    <t>trollie brite</t>
  </si>
  <si>
    <t>warheads</t>
  </si>
  <si>
    <t>extra</t>
  </si>
  <si>
    <t>starburst</t>
  </si>
  <si>
    <t>byron water</t>
  </si>
  <si>
    <t>coke buddy</t>
  </si>
  <si>
    <t>n sugar 600</t>
  </si>
  <si>
    <t>lift 600</t>
  </si>
  <si>
    <t>sprite</t>
  </si>
  <si>
    <t>vanilla 600</t>
  </si>
  <si>
    <t>tea</t>
  </si>
  <si>
    <t>mineral water</t>
  </si>
  <si>
    <t>mineral cans</t>
  </si>
  <si>
    <t>can coffee</t>
  </si>
  <si>
    <t>coke 375</t>
  </si>
  <si>
    <t>n s 375</t>
  </si>
  <si>
    <t>diet</t>
  </si>
  <si>
    <t>Krks CS</t>
  </si>
  <si>
    <t>krks gb</t>
  </si>
  <si>
    <t>pasito</t>
  </si>
  <si>
    <t xml:space="preserve">pas sf </t>
  </si>
  <si>
    <t>Coco nut</t>
  </si>
  <si>
    <t>dew</t>
  </si>
  <si>
    <t xml:space="preserve">max </t>
  </si>
  <si>
    <t>vanilla 375</t>
  </si>
  <si>
    <t>solo</t>
  </si>
  <si>
    <t>sunkist</t>
  </si>
  <si>
    <t>lenoade</t>
  </si>
  <si>
    <t>berocca</t>
  </si>
  <si>
    <t>monster</t>
  </si>
  <si>
    <t>Powerade</t>
  </si>
  <si>
    <t>rockstar</t>
  </si>
  <si>
    <t>V p</t>
  </si>
  <si>
    <t>redbull 250</t>
  </si>
  <si>
    <t>UHT Milk</t>
  </si>
  <si>
    <t>nippy</t>
  </si>
  <si>
    <t>u &amp; G</t>
  </si>
  <si>
    <t>salami</t>
  </si>
  <si>
    <t>cheese</t>
  </si>
  <si>
    <t>tuna</t>
  </si>
  <si>
    <t>pies &amp; Rolls</t>
  </si>
  <si>
    <t>coconut</t>
  </si>
  <si>
    <t xml:space="preserve">oj </t>
  </si>
  <si>
    <t>apple</t>
  </si>
  <si>
    <t>brownie</t>
  </si>
  <si>
    <t>cookie</t>
  </si>
  <si>
    <t>nippy 375</t>
  </si>
  <si>
    <t>jerky</t>
  </si>
  <si>
    <t>popcorn</t>
  </si>
  <si>
    <t>b / rings</t>
  </si>
  <si>
    <t>cheetos</t>
  </si>
  <si>
    <t>g waves</t>
  </si>
  <si>
    <t>cashews</t>
  </si>
  <si>
    <t>Following Not Printed</t>
  </si>
  <si>
    <t>RRD HS</t>
  </si>
  <si>
    <t>RRD Chilli</t>
  </si>
  <si>
    <t>RRD S Salt</t>
  </si>
  <si>
    <t>RRD SSV</t>
  </si>
  <si>
    <t>Tomato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</si>
</sst>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EE3C-0008-284C-9EE1-6830E7D8212E}">
  <dimension ref="A1:E122"/>
  <sheetViews>
    <sheetView tabSelected="1" topLeftCell="A90" workbookViewId="0">
      <selection activeCell="E123" sqref="E123"/>
    </sheetView>
  </sheetViews>
  <sheetFormatPr baseColWidth="10" defaultRowHeight="16" x14ac:dyDescent="0.2"/>
  <cols>
    <col min="1" max="1" width="26.6640625" customWidth="1"/>
    <col min="2" max="2" width="22.1640625" customWidth="1"/>
    <col min="3" max="3" width="25.33203125" customWidth="1"/>
    <col min="4" max="4" width="31.1640625" style="1" customWidth="1"/>
    <col min="5" max="5" width="11.5" bestFit="1" customWidth="1"/>
  </cols>
  <sheetData>
    <row r="1" spans="1:5" x14ac:dyDescent="0.2">
      <c r="A1" t="s">
        <v>0</v>
      </c>
    </row>
    <row r="2" spans="1:5" x14ac:dyDescent="0.2">
      <c r="A2" t="s">
        <v>1</v>
      </c>
    </row>
    <row r="3" spans="1:5" x14ac:dyDescent="0.2">
      <c r="A3" t="s">
        <v>2</v>
      </c>
    </row>
    <row r="5" spans="1:5" x14ac:dyDescent="0.2">
      <c r="A5" t="s">
        <v>3</v>
      </c>
      <c r="B5" t="s">
        <v>5</v>
      </c>
      <c r="C5" t="s">
        <v>4</v>
      </c>
      <c r="D5" s="1" t="s">
        <v>7</v>
      </c>
      <c r="E5" t="s">
        <v>6</v>
      </c>
    </row>
    <row r="6" spans="1:5" x14ac:dyDescent="0.2">
      <c r="A6" t="s">
        <v>10</v>
      </c>
      <c r="C6">
        <v>5</v>
      </c>
      <c r="D6" s="1">
        <v>1.19</v>
      </c>
      <c r="E6" s="2">
        <f>(B6+C6)*D6</f>
        <v>5.9499999999999993</v>
      </c>
    </row>
    <row r="7" spans="1:5" x14ac:dyDescent="0.2">
      <c r="A7" t="s">
        <v>11</v>
      </c>
      <c r="C7">
        <v>30</v>
      </c>
      <c r="D7" s="1">
        <v>1</v>
      </c>
      <c r="E7" s="2">
        <f t="shared" ref="E7:E70" si="0">(B7+C7)*D7</f>
        <v>30</v>
      </c>
    </row>
    <row r="8" spans="1:5" x14ac:dyDescent="0.2">
      <c r="A8" t="s">
        <v>12</v>
      </c>
      <c r="C8">
        <v>4</v>
      </c>
      <c r="D8" s="1">
        <v>2</v>
      </c>
      <c r="E8" s="2">
        <f t="shared" si="0"/>
        <v>8</v>
      </c>
    </row>
    <row r="9" spans="1:5" x14ac:dyDescent="0.2">
      <c r="A9" t="s">
        <v>13</v>
      </c>
      <c r="C9">
        <v>67</v>
      </c>
      <c r="D9" s="1">
        <v>1.31</v>
      </c>
      <c r="E9" s="2">
        <f t="shared" si="0"/>
        <v>87.77000000000001</v>
      </c>
    </row>
    <row r="10" spans="1:5" x14ac:dyDescent="0.2">
      <c r="A10" t="s">
        <v>8</v>
      </c>
      <c r="B10">
        <v>21</v>
      </c>
      <c r="C10">
        <v>159</v>
      </c>
      <c r="D10" s="1">
        <v>1.8</v>
      </c>
      <c r="E10" s="2">
        <f t="shared" si="0"/>
        <v>324</v>
      </c>
    </row>
    <row r="11" spans="1:5" x14ac:dyDescent="0.2">
      <c r="A11" t="s">
        <v>9</v>
      </c>
      <c r="B11">
        <v>18</v>
      </c>
      <c r="C11">
        <v>35</v>
      </c>
      <c r="D11" s="1">
        <v>1.31</v>
      </c>
      <c r="E11" s="2">
        <f t="shared" si="0"/>
        <v>69.430000000000007</v>
      </c>
    </row>
    <row r="12" spans="1:5" x14ac:dyDescent="0.2">
      <c r="A12" t="s">
        <v>14</v>
      </c>
      <c r="B12">
        <v>24</v>
      </c>
      <c r="C12">
        <v>5</v>
      </c>
      <c r="D12" s="1">
        <v>3</v>
      </c>
      <c r="E12" s="2">
        <f t="shared" si="0"/>
        <v>87</v>
      </c>
    </row>
    <row r="13" spans="1:5" x14ac:dyDescent="0.2">
      <c r="A13" t="s">
        <v>15</v>
      </c>
      <c r="C13">
        <v>29</v>
      </c>
      <c r="D13" s="1">
        <v>1.81</v>
      </c>
      <c r="E13" s="2">
        <f t="shared" si="0"/>
        <v>52.49</v>
      </c>
    </row>
    <row r="14" spans="1:5" x14ac:dyDescent="0.2">
      <c r="A14" t="s">
        <v>16</v>
      </c>
      <c r="B14">
        <v>241</v>
      </c>
      <c r="C14">
        <v>304</v>
      </c>
      <c r="D14" s="1">
        <v>1.81</v>
      </c>
      <c r="E14" s="2">
        <f t="shared" si="0"/>
        <v>986.45</v>
      </c>
    </row>
    <row r="15" spans="1:5" x14ac:dyDescent="0.2">
      <c r="A15" t="s">
        <v>17</v>
      </c>
      <c r="C15">
        <v>66</v>
      </c>
      <c r="D15" s="1">
        <v>0.6</v>
      </c>
      <c r="E15" s="2">
        <f t="shared" si="0"/>
        <v>39.6</v>
      </c>
    </row>
    <row r="16" spans="1:5" x14ac:dyDescent="0.2">
      <c r="A16" t="s">
        <v>18</v>
      </c>
      <c r="B16">
        <v>1072</v>
      </c>
      <c r="C16">
        <v>443</v>
      </c>
      <c r="D16" s="1">
        <v>0.9</v>
      </c>
      <c r="E16" s="2">
        <f t="shared" si="0"/>
        <v>1363.5</v>
      </c>
    </row>
    <row r="17" spans="1:5" x14ac:dyDescent="0.2">
      <c r="A17" t="s">
        <v>19</v>
      </c>
      <c r="B17">
        <v>40</v>
      </c>
      <c r="C17">
        <v>79</v>
      </c>
      <c r="D17" s="1">
        <v>0.46</v>
      </c>
      <c r="E17" s="2">
        <f t="shared" si="0"/>
        <v>54.74</v>
      </c>
    </row>
    <row r="18" spans="1:5" x14ac:dyDescent="0.2">
      <c r="A18" t="s">
        <v>20</v>
      </c>
      <c r="B18">
        <v>52</v>
      </c>
      <c r="C18">
        <v>152</v>
      </c>
      <c r="D18" s="1">
        <v>1.81</v>
      </c>
      <c r="E18" s="2">
        <f t="shared" si="0"/>
        <v>369.24</v>
      </c>
    </row>
    <row r="19" spans="1:5" x14ac:dyDescent="0.2">
      <c r="A19" t="s">
        <v>21</v>
      </c>
      <c r="B19">
        <v>113</v>
      </c>
      <c r="C19">
        <v>241</v>
      </c>
      <c r="D19" s="1">
        <v>0.9</v>
      </c>
      <c r="E19" s="2">
        <f t="shared" si="0"/>
        <v>318.60000000000002</v>
      </c>
    </row>
    <row r="20" spans="1:5" x14ac:dyDescent="0.2">
      <c r="A20" t="s">
        <v>22</v>
      </c>
      <c r="B20">
        <v>95</v>
      </c>
      <c r="C20">
        <v>254</v>
      </c>
      <c r="D20" s="1">
        <v>0.9</v>
      </c>
      <c r="E20" s="2">
        <f t="shared" si="0"/>
        <v>314.10000000000002</v>
      </c>
    </row>
    <row r="21" spans="1:5" x14ac:dyDescent="0.2">
      <c r="A21" t="s">
        <v>23</v>
      </c>
      <c r="B21">
        <v>109</v>
      </c>
      <c r="C21">
        <v>252</v>
      </c>
      <c r="D21" s="1">
        <v>0.9</v>
      </c>
      <c r="E21" s="2">
        <f t="shared" si="0"/>
        <v>324.90000000000003</v>
      </c>
    </row>
    <row r="22" spans="1:5" x14ac:dyDescent="0.2">
      <c r="A22" t="s">
        <v>24</v>
      </c>
      <c r="B22">
        <v>57</v>
      </c>
      <c r="C22">
        <v>161</v>
      </c>
      <c r="D22" s="1">
        <v>0.9</v>
      </c>
      <c r="E22" s="2">
        <f t="shared" si="0"/>
        <v>196.20000000000002</v>
      </c>
    </row>
    <row r="23" spans="1:5" x14ac:dyDescent="0.2">
      <c r="A23" t="s">
        <v>25</v>
      </c>
      <c r="B23">
        <v>274</v>
      </c>
      <c r="C23">
        <v>512</v>
      </c>
      <c r="D23" s="1">
        <v>0.9</v>
      </c>
      <c r="E23" s="2">
        <f t="shared" si="0"/>
        <v>707.4</v>
      </c>
    </row>
    <row r="24" spans="1:5" x14ac:dyDescent="0.2">
      <c r="A24" t="s">
        <v>26</v>
      </c>
      <c r="B24">
        <v>138</v>
      </c>
      <c r="C24">
        <v>410</v>
      </c>
      <c r="D24" s="1">
        <v>0.9</v>
      </c>
      <c r="E24" s="2">
        <f t="shared" si="0"/>
        <v>493.2</v>
      </c>
    </row>
    <row r="25" spans="1:5" x14ac:dyDescent="0.2">
      <c r="A25" t="s">
        <v>27</v>
      </c>
      <c r="B25">
        <v>114</v>
      </c>
      <c r="C25">
        <v>384</v>
      </c>
      <c r="D25" s="1">
        <v>0.9</v>
      </c>
      <c r="E25" s="2">
        <f t="shared" si="0"/>
        <v>448.2</v>
      </c>
    </row>
    <row r="26" spans="1:5" x14ac:dyDescent="0.2">
      <c r="A26" t="s">
        <v>28</v>
      </c>
      <c r="B26">
        <v>22</v>
      </c>
      <c r="C26">
        <v>54</v>
      </c>
      <c r="D26" s="1">
        <v>0.9</v>
      </c>
      <c r="E26" s="2">
        <f t="shared" si="0"/>
        <v>68.400000000000006</v>
      </c>
    </row>
    <row r="27" spans="1:5" x14ac:dyDescent="0.2">
      <c r="A27" t="s">
        <v>29</v>
      </c>
      <c r="B27">
        <v>210</v>
      </c>
      <c r="C27">
        <v>10</v>
      </c>
      <c r="D27" s="1">
        <v>0.6</v>
      </c>
      <c r="E27" s="2">
        <f t="shared" si="0"/>
        <v>132</v>
      </c>
    </row>
    <row r="28" spans="1:5" x14ac:dyDescent="0.2">
      <c r="A28" t="s">
        <v>30</v>
      </c>
      <c r="B28">
        <v>24</v>
      </c>
      <c r="C28">
        <v>59</v>
      </c>
      <c r="D28" s="1">
        <v>0.9</v>
      </c>
      <c r="E28" s="2">
        <f t="shared" si="0"/>
        <v>74.7</v>
      </c>
    </row>
    <row r="29" spans="1:5" x14ac:dyDescent="0.2">
      <c r="A29" t="s">
        <v>31</v>
      </c>
      <c r="B29">
        <v>52</v>
      </c>
      <c r="C29">
        <v>134</v>
      </c>
      <c r="D29" s="1">
        <v>0.9</v>
      </c>
      <c r="E29" s="2">
        <f t="shared" si="0"/>
        <v>167.4</v>
      </c>
    </row>
    <row r="30" spans="1:5" x14ac:dyDescent="0.2">
      <c r="A30" t="s">
        <v>32</v>
      </c>
      <c r="B30">
        <v>406</v>
      </c>
      <c r="C30">
        <v>422</v>
      </c>
      <c r="D30" s="1">
        <v>0.9</v>
      </c>
      <c r="E30" s="2">
        <f t="shared" si="0"/>
        <v>745.2</v>
      </c>
    </row>
    <row r="31" spans="1:5" x14ac:dyDescent="0.2">
      <c r="A31" t="s">
        <v>33</v>
      </c>
      <c r="C31">
        <v>22</v>
      </c>
      <c r="D31" s="1">
        <v>3</v>
      </c>
      <c r="E31" s="2">
        <f t="shared" si="0"/>
        <v>66</v>
      </c>
    </row>
    <row r="32" spans="1:5" x14ac:dyDescent="0.2">
      <c r="A32" t="s">
        <v>34</v>
      </c>
      <c r="B32">
        <v>8</v>
      </c>
      <c r="C32">
        <v>264</v>
      </c>
      <c r="D32" s="1">
        <v>0.9</v>
      </c>
      <c r="E32" s="2">
        <f t="shared" si="0"/>
        <v>244.8</v>
      </c>
    </row>
    <row r="33" spans="1:5" x14ac:dyDescent="0.2">
      <c r="A33" t="s">
        <v>35</v>
      </c>
      <c r="B33">
        <v>312</v>
      </c>
      <c r="C33">
        <v>155</v>
      </c>
      <c r="D33" s="1">
        <v>0.9</v>
      </c>
      <c r="E33" s="2">
        <f t="shared" si="0"/>
        <v>420.3</v>
      </c>
    </row>
    <row r="34" spans="1:5" x14ac:dyDescent="0.2">
      <c r="A34" t="s">
        <v>36</v>
      </c>
      <c r="C34">
        <v>27</v>
      </c>
      <c r="D34" s="1">
        <v>3</v>
      </c>
      <c r="E34" s="2">
        <f t="shared" si="0"/>
        <v>81</v>
      </c>
    </row>
    <row r="35" spans="1:5" x14ac:dyDescent="0.2">
      <c r="A35" t="s">
        <v>37</v>
      </c>
      <c r="B35">
        <v>420</v>
      </c>
      <c r="C35">
        <v>408</v>
      </c>
      <c r="D35" s="1">
        <v>0.9</v>
      </c>
      <c r="E35" s="2">
        <f t="shared" si="0"/>
        <v>745.2</v>
      </c>
    </row>
    <row r="36" spans="1:5" x14ac:dyDescent="0.2">
      <c r="A36" t="s">
        <v>38</v>
      </c>
      <c r="C36">
        <v>75</v>
      </c>
      <c r="D36" s="1">
        <v>0.6</v>
      </c>
      <c r="E36" s="2">
        <f t="shared" si="0"/>
        <v>45</v>
      </c>
    </row>
    <row r="37" spans="1:5" x14ac:dyDescent="0.2">
      <c r="A37" t="s">
        <v>39</v>
      </c>
      <c r="B37">
        <v>42</v>
      </c>
      <c r="C37">
        <v>141</v>
      </c>
      <c r="D37" s="1">
        <v>0.9</v>
      </c>
      <c r="E37" s="2">
        <f t="shared" si="0"/>
        <v>164.70000000000002</v>
      </c>
    </row>
    <row r="38" spans="1:5" x14ac:dyDescent="0.2">
      <c r="A38" t="s">
        <v>40</v>
      </c>
      <c r="C38">
        <v>400</v>
      </c>
      <c r="D38" s="1">
        <v>0.9</v>
      </c>
      <c r="E38" s="2">
        <f t="shared" si="0"/>
        <v>360</v>
      </c>
    </row>
    <row r="39" spans="1:5" x14ac:dyDescent="0.2">
      <c r="A39" t="s">
        <v>41</v>
      </c>
      <c r="B39">
        <v>52</v>
      </c>
      <c r="C39">
        <v>68</v>
      </c>
      <c r="D39" s="1">
        <v>0.9</v>
      </c>
      <c r="E39" s="2">
        <f t="shared" si="0"/>
        <v>108</v>
      </c>
    </row>
    <row r="40" spans="1:5" x14ac:dyDescent="0.2">
      <c r="A40" t="s">
        <v>42</v>
      </c>
      <c r="C40">
        <v>10</v>
      </c>
      <c r="D40" s="1">
        <v>0.9</v>
      </c>
      <c r="E40" s="2">
        <f t="shared" si="0"/>
        <v>9</v>
      </c>
    </row>
    <row r="41" spans="1:5" x14ac:dyDescent="0.2">
      <c r="A41" t="s">
        <v>40</v>
      </c>
      <c r="C41">
        <v>140</v>
      </c>
      <c r="D41" s="1">
        <v>0.9</v>
      </c>
      <c r="E41" s="2">
        <f t="shared" si="0"/>
        <v>126</v>
      </c>
    </row>
    <row r="42" spans="1:5" x14ac:dyDescent="0.2">
      <c r="A42" t="s">
        <v>43</v>
      </c>
      <c r="C42">
        <v>46</v>
      </c>
      <c r="D42" s="1">
        <v>0.9</v>
      </c>
      <c r="E42" s="2">
        <f t="shared" si="0"/>
        <v>41.4</v>
      </c>
    </row>
    <row r="43" spans="1:5" x14ac:dyDescent="0.2">
      <c r="A43" t="s">
        <v>44</v>
      </c>
      <c r="B43">
        <v>312</v>
      </c>
      <c r="C43">
        <v>291</v>
      </c>
      <c r="D43" s="1">
        <v>0.45</v>
      </c>
      <c r="E43" s="2">
        <f t="shared" si="0"/>
        <v>271.35000000000002</v>
      </c>
    </row>
    <row r="44" spans="1:5" x14ac:dyDescent="0.2">
      <c r="A44" t="s">
        <v>45</v>
      </c>
      <c r="B44">
        <v>68</v>
      </c>
      <c r="C44">
        <v>144</v>
      </c>
      <c r="D44" s="1">
        <v>0.4</v>
      </c>
      <c r="E44" s="2">
        <f t="shared" si="0"/>
        <v>84.800000000000011</v>
      </c>
    </row>
    <row r="45" spans="1:5" x14ac:dyDescent="0.2">
      <c r="A45" t="s">
        <v>46</v>
      </c>
      <c r="B45">
        <v>7</v>
      </c>
      <c r="C45">
        <v>43</v>
      </c>
      <c r="D45" s="1">
        <v>0.3</v>
      </c>
      <c r="E45" s="2">
        <f t="shared" si="0"/>
        <v>15</v>
      </c>
    </row>
    <row r="46" spans="1:5" x14ac:dyDescent="0.2">
      <c r="A46" t="s">
        <v>47</v>
      </c>
      <c r="C46">
        <v>92</v>
      </c>
      <c r="D46" s="1">
        <v>3</v>
      </c>
      <c r="E46" s="2">
        <f t="shared" si="0"/>
        <v>276</v>
      </c>
    </row>
    <row r="47" spans="1:5" x14ac:dyDescent="0.2">
      <c r="A47" t="s">
        <v>31</v>
      </c>
      <c r="C47">
        <v>195</v>
      </c>
      <c r="D47" s="1">
        <v>0.9</v>
      </c>
      <c r="E47" s="2">
        <f t="shared" si="0"/>
        <v>175.5</v>
      </c>
    </row>
    <row r="48" spans="1:5" x14ac:dyDescent="0.2">
      <c r="A48" t="s">
        <v>48</v>
      </c>
      <c r="C48">
        <v>4</v>
      </c>
      <c r="D48" s="1">
        <v>0.9</v>
      </c>
      <c r="E48" s="2">
        <f t="shared" si="0"/>
        <v>3.6</v>
      </c>
    </row>
    <row r="49" spans="1:5" x14ac:dyDescent="0.2">
      <c r="A49" t="s">
        <v>49</v>
      </c>
      <c r="B49">
        <v>78</v>
      </c>
      <c r="C49">
        <v>193</v>
      </c>
      <c r="D49" s="1">
        <v>1.5</v>
      </c>
      <c r="E49" s="2">
        <f t="shared" si="0"/>
        <v>406.5</v>
      </c>
    </row>
    <row r="50" spans="1:5" x14ac:dyDescent="0.2">
      <c r="A50" t="s">
        <v>50</v>
      </c>
      <c r="B50">
        <v>880</v>
      </c>
      <c r="C50">
        <v>568</v>
      </c>
      <c r="D50" s="1">
        <v>1</v>
      </c>
      <c r="E50" s="2">
        <f t="shared" si="0"/>
        <v>1448</v>
      </c>
    </row>
    <row r="51" spans="1:5" x14ac:dyDescent="0.2">
      <c r="A51" t="s">
        <v>51</v>
      </c>
      <c r="B51">
        <v>120</v>
      </c>
      <c r="C51">
        <v>124</v>
      </c>
      <c r="D51" s="1">
        <v>1</v>
      </c>
      <c r="E51" s="2">
        <f t="shared" si="0"/>
        <v>244</v>
      </c>
    </row>
    <row r="52" spans="1:5" x14ac:dyDescent="0.2">
      <c r="A52" t="s">
        <v>52</v>
      </c>
      <c r="C52">
        <v>13</v>
      </c>
      <c r="D52" s="1">
        <v>0.6</v>
      </c>
      <c r="E52" s="2">
        <f t="shared" si="0"/>
        <v>7.8</v>
      </c>
    </row>
    <row r="53" spans="1:5" x14ac:dyDescent="0.2">
      <c r="A53" t="s">
        <v>53</v>
      </c>
      <c r="C53">
        <v>6</v>
      </c>
      <c r="D53" s="1">
        <v>1.5</v>
      </c>
      <c r="E53" s="2">
        <f t="shared" si="0"/>
        <v>9</v>
      </c>
    </row>
    <row r="54" spans="1:5" x14ac:dyDescent="0.2">
      <c r="A54" t="s">
        <v>54</v>
      </c>
      <c r="C54">
        <v>11</v>
      </c>
      <c r="D54" s="1">
        <v>1.5</v>
      </c>
      <c r="E54" s="2">
        <f t="shared" si="0"/>
        <v>16.5</v>
      </c>
    </row>
    <row r="55" spans="1:5" x14ac:dyDescent="0.2">
      <c r="A55" t="s">
        <v>55</v>
      </c>
      <c r="B55">
        <v>104</v>
      </c>
      <c r="C55">
        <v>27</v>
      </c>
      <c r="D55" s="1">
        <v>0.7</v>
      </c>
      <c r="E55" s="2">
        <f t="shared" si="0"/>
        <v>91.699999999999989</v>
      </c>
    </row>
    <row r="56" spans="1:5" x14ac:dyDescent="0.2">
      <c r="A56" t="s">
        <v>56</v>
      </c>
      <c r="B56">
        <v>507</v>
      </c>
      <c r="C56">
        <v>183</v>
      </c>
      <c r="D56" s="1">
        <v>1.5</v>
      </c>
      <c r="E56" s="2">
        <f t="shared" si="0"/>
        <v>1035</v>
      </c>
    </row>
    <row r="57" spans="1:5" x14ac:dyDescent="0.2">
      <c r="A57" t="s">
        <v>57</v>
      </c>
      <c r="B57">
        <v>151</v>
      </c>
      <c r="C57">
        <v>97</v>
      </c>
      <c r="D57" s="1">
        <v>1.5</v>
      </c>
      <c r="E57" s="2">
        <f t="shared" si="0"/>
        <v>372</v>
      </c>
    </row>
    <row r="58" spans="1:5" x14ac:dyDescent="0.2">
      <c r="A58" t="s">
        <v>58</v>
      </c>
      <c r="C58">
        <v>25</v>
      </c>
      <c r="D58" s="1">
        <v>1.2</v>
      </c>
      <c r="E58" s="2">
        <f t="shared" si="0"/>
        <v>30</v>
      </c>
    </row>
    <row r="59" spans="1:5" x14ac:dyDescent="0.2">
      <c r="A59" t="s">
        <v>59</v>
      </c>
      <c r="C59">
        <v>90</v>
      </c>
      <c r="D59" s="1">
        <v>1.81</v>
      </c>
      <c r="E59" s="2">
        <f t="shared" si="0"/>
        <v>162.9</v>
      </c>
    </row>
    <row r="60" spans="1:5" x14ac:dyDescent="0.2">
      <c r="A60" t="s">
        <v>60</v>
      </c>
      <c r="B60">
        <v>60</v>
      </c>
      <c r="C60">
        <v>202</v>
      </c>
      <c r="D60" s="1">
        <v>0.8</v>
      </c>
      <c r="E60" s="2">
        <f t="shared" si="0"/>
        <v>209.60000000000002</v>
      </c>
    </row>
    <row r="61" spans="1:5" x14ac:dyDescent="0.2">
      <c r="A61" t="s">
        <v>61</v>
      </c>
      <c r="B61">
        <v>18</v>
      </c>
      <c r="C61">
        <v>122</v>
      </c>
      <c r="D61" s="1">
        <v>1.8</v>
      </c>
      <c r="E61" s="2">
        <f t="shared" si="0"/>
        <v>252</v>
      </c>
    </row>
    <row r="62" spans="1:5" x14ac:dyDescent="0.2">
      <c r="A62" t="s">
        <v>62</v>
      </c>
      <c r="B62">
        <v>16</v>
      </c>
      <c r="C62">
        <v>74</v>
      </c>
      <c r="D62" s="1">
        <v>1.8</v>
      </c>
      <c r="E62" s="2">
        <f t="shared" si="0"/>
        <v>162</v>
      </c>
    </row>
    <row r="63" spans="1:5" x14ac:dyDescent="0.2">
      <c r="A63" t="s">
        <v>63</v>
      </c>
      <c r="B63">
        <v>17</v>
      </c>
      <c r="C63">
        <v>14</v>
      </c>
      <c r="D63" s="1">
        <v>1.8</v>
      </c>
      <c r="E63" s="2">
        <f t="shared" si="0"/>
        <v>55.800000000000004</v>
      </c>
    </row>
    <row r="64" spans="1:5" x14ac:dyDescent="0.2">
      <c r="A64" t="s">
        <v>64</v>
      </c>
      <c r="B64">
        <v>52</v>
      </c>
      <c r="C64">
        <v>48</v>
      </c>
      <c r="D64" s="1">
        <v>1.8</v>
      </c>
      <c r="E64" s="2">
        <f t="shared" si="0"/>
        <v>180</v>
      </c>
    </row>
    <row r="65" spans="1:5" x14ac:dyDescent="0.2">
      <c r="A65" t="s">
        <v>65</v>
      </c>
      <c r="B65">
        <v>8</v>
      </c>
      <c r="C65">
        <v>32</v>
      </c>
      <c r="D65" s="1">
        <v>1.8</v>
      </c>
      <c r="E65" s="2">
        <f t="shared" si="0"/>
        <v>72</v>
      </c>
    </row>
    <row r="66" spans="1:5" x14ac:dyDescent="0.2">
      <c r="A66" t="s">
        <v>66</v>
      </c>
      <c r="B66">
        <v>16</v>
      </c>
      <c r="C66">
        <v>78</v>
      </c>
      <c r="D66" s="1">
        <v>1.8</v>
      </c>
      <c r="E66" s="2">
        <f t="shared" si="0"/>
        <v>169.20000000000002</v>
      </c>
    </row>
    <row r="67" spans="1:5" x14ac:dyDescent="0.2">
      <c r="A67" t="s">
        <v>67</v>
      </c>
      <c r="B67">
        <v>20</v>
      </c>
      <c r="C67">
        <v>30</v>
      </c>
      <c r="D67" s="1">
        <v>1.5</v>
      </c>
      <c r="E67" s="2">
        <f t="shared" si="0"/>
        <v>75</v>
      </c>
    </row>
    <row r="68" spans="1:5" x14ac:dyDescent="0.2">
      <c r="A68" t="s">
        <v>68</v>
      </c>
      <c r="B68">
        <v>107</v>
      </c>
      <c r="C68">
        <v>4</v>
      </c>
      <c r="D68" s="1">
        <v>0.8</v>
      </c>
      <c r="E68" s="2">
        <f t="shared" si="0"/>
        <v>88.800000000000011</v>
      </c>
    </row>
    <row r="69" spans="1:5" x14ac:dyDescent="0.2">
      <c r="A69" t="s">
        <v>69</v>
      </c>
      <c r="C69">
        <v>9</v>
      </c>
      <c r="D69" s="1">
        <v>2.5</v>
      </c>
      <c r="E69" s="2">
        <f t="shared" si="0"/>
        <v>22.5</v>
      </c>
    </row>
    <row r="70" spans="1:5" x14ac:dyDescent="0.2">
      <c r="A70" t="s">
        <v>70</v>
      </c>
      <c r="B70">
        <f>37*24</f>
        <v>888</v>
      </c>
      <c r="C70">
        <v>1105</v>
      </c>
      <c r="D70" s="1">
        <v>0.8</v>
      </c>
      <c r="E70" s="2">
        <f t="shared" si="0"/>
        <v>1594.4</v>
      </c>
    </row>
    <row r="71" spans="1:5" x14ac:dyDescent="0.2">
      <c r="A71" t="s">
        <v>71</v>
      </c>
      <c r="B71">
        <v>144</v>
      </c>
      <c r="C71">
        <v>521</v>
      </c>
      <c r="D71" s="1">
        <v>0.8</v>
      </c>
      <c r="E71" s="2">
        <f t="shared" ref="E71:E121" si="1">(B71+C71)*D71</f>
        <v>532</v>
      </c>
    </row>
    <row r="72" spans="1:5" x14ac:dyDescent="0.2">
      <c r="A72" t="s">
        <v>72</v>
      </c>
      <c r="B72">
        <v>60</v>
      </c>
      <c r="C72">
        <v>26</v>
      </c>
      <c r="D72" s="1">
        <v>0.8</v>
      </c>
      <c r="E72" s="2">
        <f t="shared" si="1"/>
        <v>68.8</v>
      </c>
    </row>
    <row r="73" spans="1:5" x14ac:dyDescent="0.2">
      <c r="A73" t="s">
        <v>73</v>
      </c>
      <c r="B73">
        <v>30</v>
      </c>
      <c r="C73">
        <v>72</v>
      </c>
      <c r="D73" s="1">
        <v>0.8</v>
      </c>
      <c r="E73" s="2">
        <f t="shared" si="1"/>
        <v>81.600000000000009</v>
      </c>
    </row>
    <row r="74" spans="1:5" x14ac:dyDescent="0.2">
      <c r="A74" t="s">
        <v>74</v>
      </c>
      <c r="B74">
        <v>6</v>
      </c>
      <c r="C74">
        <v>64</v>
      </c>
      <c r="D74" s="1">
        <v>0.8</v>
      </c>
      <c r="E74" s="2">
        <f t="shared" si="1"/>
        <v>56</v>
      </c>
    </row>
    <row r="75" spans="1:5" x14ac:dyDescent="0.2">
      <c r="A75" t="s">
        <v>75</v>
      </c>
      <c r="B75">
        <v>130</v>
      </c>
      <c r="C75">
        <v>266</v>
      </c>
      <c r="D75" s="1">
        <v>0.8</v>
      </c>
      <c r="E75" s="2">
        <f t="shared" si="1"/>
        <v>316.8</v>
      </c>
    </row>
    <row r="76" spans="1:5" x14ac:dyDescent="0.2">
      <c r="A76" t="s">
        <v>76</v>
      </c>
      <c r="B76">
        <v>10</v>
      </c>
      <c r="C76">
        <v>7</v>
      </c>
      <c r="D76" s="1">
        <v>0.8</v>
      </c>
      <c r="E76" s="2">
        <f t="shared" si="1"/>
        <v>13.600000000000001</v>
      </c>
    </row>
    <row r="77" spans="1:5" x14ac:dyDescent="0.2">
      <c r="A77" t="s">
        <v>77</v>
      </c>
      <c r="B77">
        <v>41</v>
      </c>
      <c r="C77">
        <v>80</v>
      </c>
      <c r="D77" s="1">
        <v>1.5</v>
      </c>
      <c r="E77" s="2">
        <f t="shared" si="1"/>
        <v>181.5</v>
      </c>
    </row>
    <row r="78" spans="1:5" x14ac:dyDescent="0.2">
      <c r="A78" t="s">
        <v>78</v>
      </c>
      <c r="B78">
        <v>127</v>
      </c>
      <c r="C78">
        <v>103</v>
      </c>
      <c r="D78" s="1">
        <v>0.8</v>
      </c>
      <c r="E78" s="2">
        <f t="shared" si="1"/>
        <v>184</v>
      </c>
    </row>
    <row r="79" spans="1:5" x14ac:dyDescent="0.2">
      <c r="A79" t="s">
        <v>79</v>
      </c>
      <c r="B79">
        <v>180</v>
      </c>
      <c r="C79">
        <v>299</v>
      </c>
      <c r="D79" s="1">
        <v>0.8</v>
      </c>
      <c r="E79" s="2">
        <f t="shared" si="1"/>
        <v>383.20000000000005</v>
      </c>
    </row>
    <row r="80" spans="1:5" x14ac:dyDescent="0.2">
      <c r="A80" t="s">
        <v>80</v>
      </c>
      <c r="C80">
        <v>29</v>
      </c>
      <c r="D80" s="1">
        <v>0.8</v>
      </c>
      <c r="E80" s="2">
        <f t="shared" si="1"/>
        <v>23.200000000000003</v>
      </c>
    </row>
    <row r="81" spans="1:5" x14ac:dyDescent="0.2">
      <c r="A81" t="s">
        <v>68</v>
      </c>
      <c r="C81">
        <v>88</v>
      </c>
      <c r="D81" s="1">
        <v>0.8</v>
      </c>
      <c r="E81" s="2">
        <f t="shared" si="1"/>
        <v>70.400000000000006</v>
      </c>
    </row>
    <row r="82" spans="1:5" x14ac:dyDescent="0.2">
      <c r="A82" t="s">
        <v>81</v>
      </c>
      <c r="B82">
        <v>294</v>
      </c>
      <c r="C82">
        <v>422</v>
      </c>
      <c r="D82" s="1">
        <v>0.8</v>
      </c>
      <c r="E82" s="2">
        <f t="shared" si="1"/>
        <v>572.80000000000007</v>
      </c>
    </row>
    <row r="83" spans="1:5" x14ac:dyDescent="0.2">
      <c r="A83" t="s">
        <v>82</v>
      </c>
      <c r="B83">
        <v>204</v>
      </c>
      <c r="C83">
        <v>152</v>
      </c>
      <c r="D83" s="1">
        <v>0.8</v>
      </c>
      <c r="E83" s="2">
        <f t="shared" si="1"/>
        <v>284.8</v>
      </c>
    </row>
    <row r="84" spans="1:5" x14ac:dyDescent="0.2">
      <c r="A84" t="s">
        <v>83</v>
      </c>
      <c r="B84">
        <v>107</v>
      </c>
      <c r="C84">
        <v>159</v>
      </c>
      <c r="D84" s="1">
        <v>0.8</v>
      </c>
      <c r="E84" s="2">
        <f t="shared" si="1"/>
        <v>212.8</v>
      </c>
    </row>
    <row r="85" spans="1:5" x14ac:dyDescent="0.2">
      <c r="A85" t="s">
        <v>84</v>
      </c>
      <c r="C85">
        <v>4</v>
      </c>
      <c r="D85" s="1">
        <v>2</v>
      </c>
      <c r="E85" s="2">
        <f t="shared" si="1"/>
        <v>8</v>
      </c>
    </row>
    <row r="86" spans="1:5" x14ac:dyDescent="0.2">
      <c r="A86" t="s">
        <v>85</v>
      </c>
      <c r="B86">
        <v>156</v>
      </c>
      <c r="C86">
        <f>92+66+53+79+48+179+29</f>
        <v>546</v>
      </c>
      <c r="D86" s="1">
        <v>1.9</v>
      </c>
      <c r="E86" s="2">
        <f t="shared" si="1"/>
        <v>1333.8</v>
      </c>
    </row>
    <row r="87" spans="1:5" x14ac:dyDescent="0.2">
      <c r="A87" t="s">
        <v>86</v>
      </c>
      <c r="B87">
        <v>102</v>
      </c>
      <c r="C87">
        <v>150</v>
      </c>
      <c r="D87" s="1">
        <v>1.9</v>
      </c>
      <c r="E87" s="2">
        <f t="shared" si="1"/>
        <v>478.79999999999995</v>
      </c>
    </row>
    <row r="88" spans="1:5" x14ac:dyDescent="0.2">
      <c r="A88" t="s">
        <v>87</v>
      </c>
      <c r="B88">
        <v>42</v>
      </c>
      <c r="C88">
        <v>12</v>
      </c>
      <c r="D88" s="1">
        <v>2</v>
      </c>
      <c r="E88" s="2">
        <f t="shared" si="1"/>
        <v>108</v>
      </c>
    </row>
    <row r="89" spans="1:5" x14ac:dyDescent="0.2">
      <c r="A89" t="s">
        <v>88</v>
      </c>
      <c r="B89">
        <v>59</v>
      </c>
      <c r="C89">
        <v>159</v>
      </c>
      <c r="D89" s="1">
        <v>1.5</v>
      </c>
      <c r="E89" s="2">
        <f t="shared" si="1"/>
        <v>327</v>
      </c>
    </row>
    <row r="90" spans="1:5" x14ac:dyDescent="0.2">
      <c r="A90" t="s">
        <v>89</v>
      </c>
      <c r="B90">
        <v>62</v>
      </c>
      <c r="C90">
        <v>338</v>
      </c>
      <c r="D90" s="1">
        <v>1.8</v>
      </c>
      <c r="E90" s="2">
        <f t="shared" si="1"/>
        <v>720</v>
      </c>
    </row>
    <row r="91" spans="1:5" x14ac:dyDescent="0.2">
      <c r="A91" t="s">
        <v>85</v>
      </c>
      <c r="C91">
        <v>18</v>
      </c>
      <c r="D91" s="1">
        <v>1.9</v>
      </c>
      <c r="E91" s="2">
        <f t="shared" si="1"/>
        <v>34.199999999999996</v>
      </c>
    </row>
    <row r="92" spans="1:5" x14ac:dyDescent="0.2">
      <c r="A92" t="s">
        <v>90</v>
      </c>
      <c r="C92">
        <v>203</v>
      </c>
      <c r="D92" s="1">
        <v>2.2999999999999998</v>
      </c>
      <c r="E92" s="2">
        <f t="shared" si="1"/>
        <v>466.9</v>
      </c>
    </row>
    <row r="93" spans="1:5" x14ac:dyDescent="0.2">
      <c r="A93" t="s">
        <v>91</v>
      </c>
      <c r="B93">
        <v>113</v>
      </c>
      <c r="C93">
        <v>342</v>
      </c>
      <c r="D93" s="1">
        <v>2.2999999999999998</v>
      </c>
      <c r="E93" s="2">
        <f t="shared" si="1"/>
        <v>1046.5</v>
      </c>
    </row>
    <row r="94" spans="1:5" x14ac:dyDescent="0.2">
      <c r="A94" t="s">
        <v>92</v>
      </c>
      <c r="B94">
        <v>131</v>
      </c>
      <c r="C94">
        <v>29</v>
      </c>
      <c r="D94" s="1">
        <v>1.2</v>
      </c>
      <c r="E94" s="2">
        <f t="shared" si="1"/>
        <v>192</v>
      </c>
    </row>
    <row r="95" spans="1:5" x14ac:dyDescent="0.2">
      <c r="A95" t="s">
        <v>93</v>
      </c>
      <c r="C95">
        <v>6</v>
      </c>
      <c r="D95" s="1">
        <v>1.8</v>
      </c>
      <c r="E95" s="2">
        <f t="shared" si="1"/>
        <v>10.8</v>
      </c>
    </row>
    <row r="96" spans="1:5" x14ac:dyDescent="0.2">
      <c r="A96" t="s">
        <v>94</v>
      </c>
      <c r="B96">
        <v>18</v>
      </c>
      <c r="C96">
        <v>56</v>
      </c>
      <c r="D96" s="1">
        <v>1.2</v>
      </c>
      <c r="E96" s="2">
        <f t="shared" si="1"/>
        <v>88.8</v>
      </c>
    </row>
    <row r="97" spans="1:5" x14ac:dyDescent="0.2">
      <c r="A97" t="s">
        <v>95</v>
      </c>
      <c r="B97">
        <v>43</v>
      </c>
      <c r="C97">
        <v>38</v>
      </c>
      <c r="D97" s="1">
        <v>1.8</v>
      </c>
      <c r="E97" s="2">
        <f t="shared" si="1"/>
        <v>145.80000000000001</v>
      </c>
    </row>
    <row r="98" spans="1:5" x14ac:dyDescent="0.2">
      <c r="A98" t="s">
        <v>96</v>
      </c>
      <c r="B98">
        <v>45</v>
      </c>
      <c r="C98">
        <v>18</v>
      </c>
      <c r="D98" s="1">
        <v>2.5</v>
      </c>
      <c r="E98" s="2">
        <f t="shared" si="1"/>
        <v>157.5</v>
      </c>
    </row>
    <row r="99" spans="1:5" x14ac:dyDescent="0.2">
      <c r="A99" t="s">
        <v>97</v>
      </c>
      <c r="B99">
        <v>8</v>
      </c>
      <c r="C99">
        <v>60</v>
      </c>
      <c r="D99" s="1">
        <v>1.5</v>
      </c>
      <c r="E99" s="2">
        <f t="shared" si="1"/>
        <v>102</v>
      </c>
    </row>
    <row r="100" spans="1:5" x14ac:dyDescent="0.2">
      <c r="A100" t="s">
        <v>17</v>
      </c>
      <c r="C100">
        <v>74</v>
      </c>
      <c r="D100" s="1">
        <v>0.6</v>
      </c>
      <c r="E100" s="2">
        <f t="shared" si="1"/>
        <v>44.4</v>
      </c>
    </row>
    <row r="101" spans="1:5" x14ac:dyDescent="0.2">
      <c r="A101" t="s">
        <v>66</v>
      </c>
      <c r="C101">
        <v>21</v>
      </c>
      <c r="D101" s="1">
        <v>1.8</v>
      </c>
      <c r="E101" s="2">
        <f t="shared" si="1"/>
        <v>37.800000000000004</v>
      </c>
    </row>
    <row r="102" spans="1:5" x14ac:dyDescent="0.2">
      <c r="A102" t="s">
        <v>98</v>
      </c>
      <c r="C102">
        <v>15</v>
      </c>
      <c r="D102" s="1">
        <v>1.4</v>
      </c>
      <c r="E102" s="2">
        <f t="shared" si="1"/>
        <v>21</v>
      </c>
    </row>
    <row r="103" spans="1:5" x14ac:dyDescent="0.2">
      <c r="A103" t="s">
        <v>99</v>
      </c>
      <c r="B103">
        <v>42</v>
      </c>
      <c r="C103">
        <v>65</v>
      </c>
      <c r="D103" s="1">
        <v>1.4</v>
      </c>
      <c r="E103" s="2">
        <f t="shared" si="1"/>
        <v>149.79999999999998</v>
      </c>
    </row>
    <row r="104" spans="1:5" x14ac:dyDescent="0.2">
      <c r="A104" t="s">
        <v>98</v>
      </c>
      <c r="B104">
        <v>64</v>
      </c>
      <c r="C104">
        <v>125</v>
      </c>
      <c r="D104" s="1">
        <v>1.4</v>
      </c>
      <c r="E104" s="2">
        <f t="shared" si="1"/>
        <v>264.59999999999997</v>
      </c>
    </row>
    <row r="105" spans="1:5" x14ac:dyDescent="0.2">
      <c r="A105" t="s">
        <v>100</v>
      </c>
      <c r="B105">
        <v>243</v>
      </c>
      <c r="C105">
        <v>195</v>
      </c>
      <c r="D105" s="1">
        <v>1.31</v>
      </c>
      <c r="E105" s="2">
        <f t="shared" si="1"/>
        <v>573.78</v>
      </c>
    </row>
    <row r="106" spans="1:5" x14ac:dyDescent="0.2">
      <c r="A106" t="s">
        <v>101</v>
      </c>
      <c r="B106">
        <v>7</v>
      </c>
      <c r="C106">
        <v>281</v>
      </c>
      <c r="D106" s="1">
        <v>1.31</v>
      </c>
      <c r="E106" s="2">
        <f t="shared" si="1"/>
        <v>377.28000000000003</v>
      </c>
    </row>
    <row r="107" spans="1:5" x14ac:dyDescent="0.2">
      <c r="A107" t="s">
        <v>102</v>
      </c>
      <c r="B107">
        <v>119</v>
      </c>
      <c r="C107">
        <v>55</v>
      </c>
      <c r="D107" s="1">
        <v>1.7</v>
      </c>
      <c r="E107" s="2">
        <f t="shared" si="1"/>
        <v>295.8</v>
      </c>
    </row>
    <row r="108" spans="1:5" x14ac:dyDescent="0.2">
      <c r="A108" t="s">
        <v>103</v>
      </c>
      <c r="B108">
        <v>213</v>
      </c>
      <c r="C108">
        <v>178</v>
      </c>
      <c r="D108" s="1">
        <v>1.7</v>
      </c>
      <c r="E108" s="2">
        <f t="shared" si="1"/>
        <v>664.69999999999993</v>
      </c>
    </row>
    <row r="109" spans="1:5" x14ac:dyDescent="0.2">
      <c r="A109" t="s">
        <v>104</v>
      </c>
      <c r="C109">
        <v>18</v>
      </c>
      <c r="D109" s="1">
        <v>0.8</v>
      </c>
      <c r="E109" s="2">
        <f t="shared" si="1"/>
        <v>14.4</v>
      </c>
    </row>
    <row r="110" spans="1:5" x14ac:dyDescent="0.2">
      <c r="A110" t="s">
        <v>105</v>
      </c>
      <c r="B110">
        <v>51</v>
      </c>
      <c r="C110">
        <v>148</v>
      </c>
      <c r="D110" s="1">
        <v>0.9</v>
      </c>
      <c r="E110" s="2">
        <f t="shared" si="1"/>
        <v>179.1</v>
      </c>
    </row>
    <row r="111" spans="1:5" x14ac:dyDescent="0.2">
      <c r="A111" t="s">
        <v>106</v>
      </c>
      <c r="B111">
        <v>47</v>
      </c>
      <c r="C111">
        <v>89</v>
      </c>
      <c r="D111" s="1">
        <v>0.9</v>
      </c>
      <c r="E111" s="2">
        <f t="shared" si="1"/>
        <v>122.4</v>
      </c>
    </row>
    <row r="112" spans="1:5" x14ac:dyDescent="0.2">
      <c r="A112" t="s">
        <v>107</v>
      </c>
      <c r="B112">
        <v>86</v>
      </c>
      <c r="C112">
        <v>275</v>
      </c>
      <c r="D112" s="1">
        <v>0.9</v>
      </c>
      <c r="E112" s="2">
        <f t="shared" si="1"/>
        <v>324.90000000000003</v>
      </c>
    </row>
    <row r="113" spans="1:5" x14ac:dyDescent="0.2">
      <c r="A113" t="s">
        <v>103</v>
      </c>
      <c r="C113">
        <v>55</v>
      </c>
      <c r="D113" s="1">
        <v>2.8</v>
      </c>
      <c r="E113" s="2">
        <f t="shared" si="1"/>
        <v>154</v>
      </c>
    </row>
    <row r="114" spans="1:5" x14ac:dyDescent="0.2">
      <c r="A114" t="s">
        <v>108</v>
      </c>
      <c r="C114">
        <v>13</v>
      </c>
      <c r="D114" s="1">
        <v>2</v>
      </c>
      <c r="E114" s="2">
        <f t="shared" si="1"/>
        <v>26</v>
      </c>
    </row>
    <row r="115" spans="1:5" x14ac:dyDescent="0.2">
      <c r="E115" s="2">
        <f t="shared" si="1"/>
        <v>0</v>
      </c>
    </row>
    <row r="116" spans="1:5" x14ac:dyDescent="0.2">
      <c r="A116" t="s">
        <v>109</v>
      </c>
      <c r="E116" s="2">
        <f t="shared" si="1"/>
        <v>0</v>
      </c>
    </row>
    <row r="117" spans="1:5" x14ac:dyDescent="0.2">
      <c r="A117" t="s">
        <v>110</v>
      </c>
      <c r="B117">
        <v>274</v>
      </c>
      <c r="C117">
        <v>512</v>
      </c>
      <c r="D117" s="1">
        <v>1</v>
      </c>
      <c r="E117" s="2">
        <f t="shared" si="1"/>
        <v>786</v>
      </c>
    </row>
    <row r="118" spans="1:5" x14ac:dyDescent="0.2">
      <c r="A118" t="s">
        <v>111</v>
      </c>
      <c r="B118">
        <v>274</v>
      </c>
      <c r="C118">
        <v>512</v>
      </c>
      <c r="D118" s="1">
        <v>1</v>
      </c>
      <c r="E118" s="2">
        <f t="shared" si="1"/>
        <v>786</v>
      </c>
    </row>
    <row r="119" spans="1:5" x14ac:dyDescent="0.2">
      <c r="A119" t="s">
        <v>112</v>
      </c>
      <c r="B119">
        <v>113</v>
      </c>
      <c r="C119">
        <v>241</v>
      </c>
      <c r="D119" s="1">
        <v>1</v>
      </c>
      <c r="E119" s="2">
        <f t="shared" si="1"/>
        <v>354</v>
      </c>
    </row>
    <row r="120" spans="1:5" x14ac:dyDescent="0.2">
      <c r="A120" t="s">
        <v>113</v>
      </c>
      <c r="B120">
        <v>113</v>
      </c>
      <c r="C120">
        <v>241</v>
      </c>
      <c r="D120" s="1">
        <v>1</v>
      </c>
      <c r="E120" s="2">
        <f t="shared" si="1"/>
        <v>354</v>
      </c>
    </row>
    <row r="121" spans="1:5" x14ac:dyDescent="0.2">
      <c r="A121" t="s">
        <v>114</v>
      </c>
      <c r="B121">
        <v>54</v>
      </c>
      <c r="C121">
        <v>200</v>
      </c>
      <c r="D121" s="1">
        <v>1</v>
      </c>
      <c r="E121" s="2">
        <f t="shared" si="1"/>
        <v>254</v>
      </c>
    </row>
    <row r="122" spans="1:5" x14ac:dyDescent="0.2">
      <c r="E122" s="2">
        <f>SUM(E6:E121)</f>
        <v>31396.379999999994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2C3E8A29DA6843B049F5BA931F2DB3" ma:contentTypeVersion="17" ma:contentTypeDescription="Create a new document." ma:contentTypeScope="" ma:versionID="51f338bed5ad52cb300da1f1fb39de96">
  <xsd:schema xmlns:xsd="http://www.w3.org/2001/XMLSchema" xmlns:xs="http://www.w3.org/2001/XMLSchema" xmlns:p="http://schemas.microsoft.com/office/2006/metadata/properties" xmlns:ns2="453ae5bb-c4b3-4f02-bf0a-77936bf4c5d7" xmlns:ns3="6a9f8d5b-afbf-414d-918e-36db3097c82a" targetNamespace="http://schemas.microsoft.com/office/2006/metadata/properties" ma:root="true" ma:fieldsID="daf0d375e815fcde034f5422a32c91b0" ns2:_="" ns3:_="">
    <xsd:import namespace="453ae5bb-c4b3-4f02-bf0a-77936bf4c5d7"/>
    <xsd:import namespace="6a9f8d5b-afbf-414d-918e-36db3097c8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ae5bb-c4b3-4f02-bf0a-77936bf4c5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71817c3-0c40-4624-8a62-0001deb6ab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f8d5b-afbf-414d-918e-36db3097c8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e038c50-50a1-42a8-a8cd-40b50df13dad}" ma:internalName="TaxCatchAll" ma:showField="CatchAllData" ma:web="6a9f8d5b-afbf-414d-918e-36db3097c8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3ae5bb-c4b3-4f02-bf0a-77936bf4c5d7">
      <Terms xmlns="http://schemas.microsoft.com/office/infopath/2007/PartnerControls"/>
    </lcf76f155ced4ddcb4097134ff3c332f>
    <TaxCatchAll xmlns="6a9f8d5b-afbf-414d-918e-36db3097c82a" xsi:nil="true"/>
  </documentManagement>
</p:properties>
</file>

<file path=customXml/itemProps1.xml><?xml version="1.0" encoding="utf-8"?>
<ds:datastoreItem xmlns:ds="http://schemas.openxmlformats.org/officeDocument/2006/customXml" ds:itemID="{1B7440CF-F8E0-498B-BF9D-7FF81442BDA9}"/>
</file>

<file path=customXml/itemProps2.xml><?xml version="1.0" encoding="utf-8"?>
<ds:datastoreItem xmlns:ds="http://schemas.openxmlformats.org/officeDocument/2006/customXml" ds:itemID="{70259370-AAC4-4E97-938E-3097AB36034E}"/>
</file>

<file path=customXml/itemProps3.xml><?xml version="1.0" encoding="utf-8"?>
<ds:datastoreItem xmlns:ds="http://schemas.openxmlformats.org/officeDocument/2006/customXml" ds:itemID="{8D1FC164-5748-4F4A-8014-3BE4AE1C2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and Kath Molloy</dc:creator>
  <cp:lastModifiedBy>Phil and Kath Molloy</cp:lastModifiedBy>
  <dcterms:created xsi:type="dcterms:W3CDTF">2024-02-11T04:53:44Z</dcterms:created>
  <dcterms:modified xsi:type="dcterms:W3CDTF">2024-02-11T05:38:43Z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0x0101007D2C3E8A29DA6843B049F5BA931F2DB3</vt:lpwstr>
  </property>
</Properties>
</file>